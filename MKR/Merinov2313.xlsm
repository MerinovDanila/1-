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anila\Desktop\"/>
    </mc:Choice>
  </mc:AlternateContent>
  <xr:revisionPtr revIDLastSave="0" documentId="8_{A4E03AA5-57FF-4A18-A8D7-6F84DA684A5F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C4" i="1" l="1"/>
  <c r="C5" i="1" l="1"/>
  <c r="H16" i="1"/>
  <c r="I16" i="1"/>
  <c r="J16" i="1"/>
  <c r="N16" i="1"/>
  <c r="R16" i="1"/>
  <c r="V16" i="1"/>
  <c r="Z16" i="1"/>
  <c r="AD16" i="1"/>
  <c r="AH16" i="1"/>
  <c r="O16" i="1"/>
  <c r="S16" i="1"/>
  <c r="W16" i="1"/>
  <c r="AA16" i="1"/>
  <c r="AE16" i="1"/>
  <c r="AI16" i="1"/>
  <c r="L16" i="1"/>
  <c r="P16" i="1"/>
  <c r="T16" i="1"/>
  <c r="X16" i="1"/>
  <c r="AB16" i="1"/>
  <c r="AF16" i="1"/>
  <c r="M16" i="1"/>
  <c r="Q16" i="1"/>
  <c r="U16" i="1"/>
  <c r="Y16" i="1"/>
  <c r="AC16" i="1"/>
  <c r="AG16" i="1"/>
  <c r="G16" i="1"/>
  <c r="K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H15" i="1"/>
  <c r="T15" i="1"/>
  <c r="AF15" i="1"/>
  <c r="AA15" i="1"/>
  <c r="AB15" i="1"/>
  <c r="I15" i="1"/>
  <c r="U15" i="1"/>
  <c r="AG15" i="1"/>
  <c r="V15" i="1"/>
  <c r="AH15" i="1"/>
  <c r="W15" i="1"/>
  <c r="AI15" i="1"/>
  <c r="L15" i="1"/>
  <c r="X15" i="1"/>
  <c r="M15" i="1"/>
  <c r="Y15" i="1"/>
  <c r="Z15" i="1"/>
  <c r="P15" i="1"/>
  <c r="Q15" i="1"/>
  <c r="AC15" i="1"/>
  <c r="AE15" i="1"/>
  <c r="J15" i="1"/>
  <c r="O15" i="1"/>
  <c r="R15" i="1"/>
  <c r="K15" i="1"/>
  <c r="N15" i="1"/>
  <c r="S15" i="1"/>
  <c r="G15" i="1"/>
  <c r="AD15" i="1"/>
</calcChain>
</file>

<file path=xl/sharedStrings.xml><?xml version="1.0" encoding="utf-8"?>
<sst xmlns="http://schemas.openxmlformats.org/spreadsheetml/2006/main" count="15" uniqueCount="14">
  <si>
    <t>L</t>
  </si>
  <si>
    <t>dx</t>
  </si>
  <si>
    <t>dt</t>
  </si>
  <si>
    <t>t</t>
  </si>
  <si>
    <t>Cp</t>
  </si>
  <si>
    <t>r0</t>
  </si>
  <si>
    <t>λ</t>
  </si>
  <si>
    <t>T</t>
  </si>
  <si>
    <t>T_start</t>
  </si>
  <si>
    <t>T_Fin</t>
  </si>
  <si>
    <t>T_iter</t>
  </si>
  <si>
    <t>q_start</t>
  </si>
  <si>
    <t>T_end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</si>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</sst>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right"/>
    </xf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998381768267149E-2"/>
          <c:y val="8.3457526080476907E-2"/>
          <c:w val="0.77568185460730743"/>
          <c:h val="0.8473971155990002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8-414D-BAB9-B5EEC596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556136"/>
        <c:axId val="327920320"/>
      </c:scatterChart>
      <c:valAx>
        <c:axId val="3285561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920320"/>
        <c:crosses val="autoZero"/>
        <c:crossBetween val="midCat"/>
      </c:valAx>
      <c:valAx>
        <c:axId val="327920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55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231774</xdr:colOff>
      <xdr:row>20</xdr:row>
      <xdr:rowOff>66675</xdr:rowOff>
    </xdr:from>
    <xdr:to>
      <xdr:col>11</xdr:col>
      <xdr:colOff>190499</xdr:colOff>
      <xdr:row>43</xdr:row>
      <xdr:rowOff>92075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35834C6-D218-475F-9665-CD3C895C5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361950</xdr:colOff>
      <xdr:row>20</xdr:row>
      <xdr:rowOff>180975</xdr:rowOff>
    </xdr:from>
    <xdr:ext cx="3111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5849B9F-0812-4BC4-B0AC-BBF35000C002}"/>
                </a:ext>
              </a:extLst>
            </xdr:cNvPr>
            <xdr:cNvSpPr txBox="1"/>
          </xdr:nvSpPr>
          <xdr:spPr>
            <a:xfrm>
              <a:off x="2190750" y="3990975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xmlns:a14="http://schemas.microsoft.com/office/drawing/2010/main" id="{65849B9F-0812-4BC4-B0AC-BBF35000C002}"/>
                </a:ext>
              </a:extLst>
            </xdr:cNvPr>
            <xdr:cNvSpPr txBox="1"/>
          </xdr:nvSpPr>
          <xdr:spPr>
            <a:xfrm>
              <a:off x="2190750" y="3990975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 𝐶^𝑜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371475</xdr:colOff>
      <xdr:row>42</xdr:row>
      <xdr:rowOff>25400</xdr:rowOff>
    </xdr:from>
    <xdr:ext cx="3785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90EE232-9513-410F-AE2C-C907F5E92E3A}"/>
                </a:ext>
              </a:extLst>
            </xdr:cNvPr>
            <xdr:cNvSpPr txBox="1"/>
          </xdr:nvSpPr>
          <xdr:spPr>
            <a:xfrm>
              <a:off x="6467475" y="80264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xmlns:a14="http://schemas.microsoft.com/office/drawing/2010/main" id="{B90EE232-9513-410F-AE2C-C907F5E92E3A}"/>
                </a:ext>
              </a:extLst>
            </xdr:cNvPr>
            <xdr:cNvSpPr txBox="1"/>
          </xdr:nvSpPr>
          <xdr:spPr>
            <a:xfrm>
              <a:off x="6467475" y="80264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𝐿 (𝑚)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abSelected="1" topLeftCell="A13" workbookViewId="0">
      <selection activeCell="G13" sqref="G13"/>
    </sheetView>
  </sheetViews>
  <sheetFormatPr defaultRowHeight="14.4" x14ac:dyDescent="0.3"/>
  <sheetData>
    <row r="3" spans="2:36" x14ac:dyDescent="0.3">
      <c r="B3" s="3" t="s">
        <v>0</v>
      </c>
      <c r="C3" s="6">
        <v>0.1</v>
      </c>
    </row>
    <row r="4" spans="2:36" x14ac:dyDescent="0.3">
      <c r="B4" s="3" t="s">
        <v>1</v>
      </c>
      <c r="C4" s="2">
        <f>C3/30</f>
        <v>3.3333333333333335E-3</v>
      </c>
    </row>
    <row r="5" spans="2:36" x14ac:dyDescent="0.3">
      <c r="B5" s="3" t="s">
        <v>2</v>
      </c>
      <c r="C5" s="2">
        <f>(C9*C8*C4^2)/(2*C10)</f>
        <v>0.4333333333333334</v>
      </c>
    </row>
    <row r="6" spans="2:36" x14ac:dyDescent="0.3">
      <c r="B6" s="3" t="s">
        <v>3</v>
      </c>
      <c r="C6" s="3">
        <v>5000</v>
      </c>
      <c r="D6">
        <v>5000.2333333333345</v>
      </c>
    </row>
    <row r="8" spans="2:36" x14ac:dyDescent="0.3">
      <c r="B8" s="3" t="s">
        <v>4</v>
      </c>
      <c r="C8" s="3">
        <v>460</v>
      </c>
    </row>
    <row r="9" spans="2:36" x14ac:dyDescent="0.3">
      <c r="B9" s="3" t="s">
        <v>5</v>
      </c>
      <c r="C9" s="3">
        <v>7800</v>
      </c>
    </row>
    <row r="10" spans="2:36" x14ac:dyDescent="0.3">
      <c r="B10" s="7" t="s">
        <v>6</v>
      </c>
      <c r="C10" s="3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3" t="s">
        <v>8</v>
      </c>
      <c r="C12" s="3">
        <v>300</v>
      </c>
      <c r="E12" t="s">
        <v>0</v>
      </c>
      <c r="F12" s="4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3" t="s">
        <v>9</v>
      </c>
      <c r="C13" s="3">
        <v>100</v>
      </c>
      <c r="E13" t="s">
        <v>7</v>
      </c>
      <c r="F13" s="4">
        <v>300</v>
      </c>
      <c r="G13" s="4">
        <v>293.33333333333297</v>
      </c>
      <c r="H13" s="4">
        <v>286.66666666666595</v>
      </c>
      <c r="I13" s="4">
        <v>279.99999999999898</v>
      </c>
      <c r="J13" s="4">
        <v>273.33333333333206</v>
      </c>
      <c r="K13" s="4">
        <v>266.66666666666515</v>
      </c>
      <c r="L13" s="4">
        <v>259.99999999999829</v>
      </c>
      <c r="M13" s="4">
        <v>253.3333333333315</v>
      </c>
      <c r="N13" s="4">
        <v>246.66666666666472</v>
      </c>
      <c r="O13" s="4">
        <v>239.99999999999795</v>
      </c>
      <c r="P13" s="4">
        <v>233.33333333333121</v>
      </c>
      <c r="Q13" s="4">
        <v>226.6666666666645</v>
      </c>
      <c r="R13" s="4">
        <v>219.99999999999778</v>
      </c>
      <c r="S13" s="4">
        <v>213.3333333333311</v>
      </c>
      <c r="T13" s="4">
        <v>206.66666666666444</v>
      </c>
      <c r="U13" s="4">
        <v>199.99999999999778</v>
      </c>
      <c r="V13" s="4">
        <v>193.33333333333115</v>
      </c>
      <c r="W13" s="4">
        <v>186.66666666666453</v>
      </c>
      <c r="X13" s="4">
        <v>179.99999999999793</v>
      </c>
      <c r="Y13" s="4">
        <v>173.33333333333132</v>
      </c>
      <c r="Z13" s="4">
        <v>166.66666666666475</v>
      </c>
      <c r="AA13" s="4">
        <v>159.99999999999821</v>
      </c>
      <c r="AB13" s="4">
        <v>153.33333333333167</v>
      </c>
      <c r="AC13" s="4">
        <v>146.66666666666515</v>
      </c>
      <c r="AD13" s="4">
        <v>139.99999999999866</v>
      </c>
      <c r="AE13" s="4">
        <v>133.33333333333218</v>
      </c>
      <c r="AF13" s="4">
        <v>126.66666666666573</v>
      </c>
      <c r="AG13" s="4">
        <v>119.99999999999929</v>
      </c>
      <c r="AH13" s="4">
        <v>113.33333333333286</v>
      </c>
      <c r="AI13" s="4">
        <v>106.66666666666643</v>
      </c>
      <c r="AJ13" s="4">
        <v>100</v>
      </c>
    </row>
    <row r="15" spans="2:36" x14ac:dyDescent="0.3">
      <c r="B15" s="3" t="s">
        <v>11</v>
      </c>
      <c r="C15" s="3">
        <v>92000</v>
      </c>
      <c r="E15" t="s">
        <v>10</v>
      </c>
      <c r="G15">
        <f>G13+($C$10*$C$5)/($C$9*$C$8)*((H13-2*G13+F13)/($C$4^2))</f>
        <v>293.33333333333297</v>
      </c>
      <c r="H15">
        <f t="shared" ref="H15:AI15" si="1">H13+($C$10*$C$5)/($C$9*$C$8)*((I13-2*H13+G13)/($C$4^2))</f>
        <v>286.66666666666595</v>
      </c>
      <c r="I15">
        <f t="shared" si="1"/>
        <v>279.99999999999898</v>
      </c>
      <c r="J15">
        <f t="shared" si="1"/>
        <v>273.33333333333206</v>
      </c>
      <c r="K15">
        <f t="shared" si="1"/>
        <v>266.66666666666515</v>
      </c>
      <c r="L15">
        <f t="shared" si="1"/>
        <v>259.99999999999829</v>
      </c>
      <c r="M15">
        <f t="shared" si="1"/>
        <v>253.3333333333315</v>
      </c>
      <c r="N15">
        <f t="shared" si="1"/>
        <v>246.66666666666472</v>
      </c>
      <c r="O15">
        <f t="shared" si="1"/>
        <v>239.99999999999795</v>
      </c>
      <c r="P15">
        <f t="shared" si="1"/>
        <v>233.33333333333121</v>
      </c>
      <c r="Q15">
        <f t="shared" si="1"/>
        <v>226.6666666666645</v>
      </c>
      <c r="R15">
        <f t="shared" si="1"/>
        <v>219.99999999999778</v>
      </c>
      <c r="S15">
        <f t="shared" si="1"/>
        <v>213.3333333333311</v>
      </c>
      <c r="T15">
        <f t="shared" si="1"/>
        <v>206.66666666666444</v>
      </c>
      <c r="U15">
        <f t="shared" si="1"/>
        <v>199.99999999999778</v>
      </c>
      <c r="V15">
        <f t="shared" si="1"/>
        <v>193.33333333333115</v>
      </c>
      <c r="W15">
        <f t="shared" si="1"/>
        <v>186.66666666666453</v>
      </c>
      <c r="X15">
        <f t="shared" si="1"/>
        <v>179.99999999999793</v>
      </c>
      <c r="Y15">
        <f t="shared" si="1"/>
        <v>173.33333333333132</v>
      </c>
      <c r="Z15">
        <f t="shared" si="1"/>
        <v>166.66666666666475</v>
      </c>
      <c r="AA15">
        <f t="shared" si="1"/>
        <v>159.99999999999821</v>
      </c>
      <c r="AB15">
        <f t="shared" si="1"/>
        <v>153.33333333333167</v>
      </c>
      <c r="AC15">
        <f t="shared" si="1"/>
        <v>146.66666666666515</v>
      </c>
      <c r="AD15">
        <f t="shared" si="1"/>
        <v>139.99999999999866</v>
      </c>
      <c r="AE15">
        <f t="shared" si="1"/>
        <v>133.33333333333218</v>
      </c>
      <c r="AF15">
        <f t="shared" si="1"/>
        <v>126.66666666666573</v>
      </c>
      <c r="AG15">
        <f t="shared" si="1"/>
        <v>119.99999999999929</v>
      </c>
      <c r="AH15">
        <f t="shared" si="1"/>
        <v>113.33333333333286</v>
      </c>
      <c r="AI15">
        <f t="shared" si="1"/>
        <v>106.66666666666643</v>
      </c>
    </row>
    <row r="16" spans="2:36" x14ac:dyDescent="0.3">
      <c r="B16" s="3" t="s">
        <v>12</v>
      </c>
      <c r="C16" s="3">
        <v>100</v>
      </c>
      <c r="E16" t="s">
        <v>13</v>
      </c>
      <c r="F16">
        <f>C15</f>
        <v>92000</v>
      </c>
      <c r="G16">
        <f>-$C$10*((G13-F13)/$C$4)</f>
        <v>92000.000000004962</v>
      </c>
      <c r="H16">
        <f t="shared" ref="H16:AI16" si="2">-$C$10*((H13-G13)/$C$4)</f>
        <v>92000.000000004962</v>
      </c>
      <c r="I16">
        <f t="shared" si="2"/>
        <v>92000.000000004176</v>
      </c>
      <c r="J16">
        <f t="shared" si="2"/>
        <v>92000.000000003391</v>
      </c>
      <c r="K16">
        <f t="shared" si="2"/>
        <v>92000.000000003391</v>
      </c>
      <c r="L16">
        <f t="shared" si="2"/>
        <v>92000.000000002605</v>
      </c>
      <c r="M16">
        <f t="shared" si="2"/>
        <v>92000.000000001819</v>
      </c>
      <c r="N16">
        <f t="shared" si="2"/>
        <v>92000.000000001426</v>
      </c>
      <c r="O16">
        <f t="shared" si="2"/>
        <v>92000.000000001426</v>
      </c>
      <c r="P16">
        <f t="shared" si="2"/>
        <v>92000.000000001033</v>
      </c>
      <c r="Q16">
        <f t="shared" si="2"/>
        <v>92000.000000000655</v>
      </c>
      <c r="R16">
        <f t="shared" si="2"/>
        <v>92000.000000000655</v>
      </c>
      <c r="S16">
        <f t="shared" si="2"/>
        <v>92000.000000000247</v>
      </c>
      <c r="T16">
        <f t="shared" si="2"/>
        <v>91999.999999999869</v>
      </c>
      <c r="U16">
        <f t="shared" si="2"/>
        <v>91999.999999999869</v>
      </c>
      <c r="V16">
        <f t="shared" si="2"/>
        <v>91999.999999999462</v>
      </c>
      <c r="W16">
        <f t="shared" si="2"/>
        <v>91999.999999999462</v>
      </c>
      <c r="X16">
        <f t="shared" si="2"/>
        <v>91999.999999999083</v>
      </c>
      <c r="Y16">
        <f t="shared" si="2"/>
        <v>91999.999999999083</v>
      </c>
      <c r="Z16">
        <f t="shared" si="2"/>
        <v>91999.999999998676</v>
      </c>
      <c r="AA16">
        <f t="shared" si="2"/>
        <v>91999.999999998297</v>
      </c>
      <c r="AB16">
        <f t="shared" si="2"/>
        <v>91999.999999998297</v>
      </c>
      <c r="AC16">
        <f t="shared" si="2"/>
        <v>91999.999999997905</v>
      </c>
      <c r="AD16">
        <f t="shared" si="2"/>
        <v>91999.999999997512</v>
      </c>
      <c r="AE16">
        <f t="shared" si="2"/>
        <v>91999.999999997512</v>
      </c>
      <c r="AF16">
        <f t="shared" si="2"/>
        <v>91999.99999999693</v>
      </c>
      <c r="AG16">
        <f t="shared" si="2"/>
        <v>91999.99999999693</v>
      </c>
      <c r="AH16">
        <f t="shared" si="2"/>
        <v>91999.999999996726</v>
      </c>
      <c r="AI16">
        <f t="shared" si="2"/>
        <v>91999.999999996726</v>
      </c>
      <c r="AJ16">
        <v>92000</v>
      </c>
    </row>
  </sheetData>
  <conditionalFormatting sqref="G13:AJ13"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Романус</dc:creator>
  <cp:lastModifiedBy>Danila</cp:lastModifiedBy>
  <dcterms:created xsi:type="dcterms:W3CDTF">2015-06-05T18:19:34Z</dcterms:created>
  <dcterms:modified xsi:type="dcterms:W3CDTF">2021-03-21T09:39:13Z</dcterms:modified>
</cp:coreProperties>
</file>